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C_Fil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  <bgColor rgb="004454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380000000000001" customWidth="1" min="1" max="1"/>
    <col width="8.380000000000001" customWidth="1" min="2" max="2"/>
    <col width="8.380000000000001" customWidth="1" min="3" max="3"/>
    <col width="47.13" customWidth="1" min="4" max="4"/>
    <col width="8.5" customWidth="1" min="5" max="5"/>
    <col width="6.75" customWidth="1" min="6" max="6"/>
    <col width="9.130000000000001" customWidth="1" min="7" max="7"/>
    <col width="15.13" customWidth="1" min="8" max="8"/>
    <col width="35.63" customWidth="1" min="9" max="9"/>
    <col width="14.25" customWidth="1" min="10" max="10"/>
    <col width="17.75" customWidth="1" min="11" max="11"/>
    <col width="31.13" customWidth="1" min="12" max="12"/>
  </cols>
  <sheetData>
    <row r="1">
      <c r="A1" s="1" t="inlineStr">
        <is>
          <t>Index</t>
        </is>
      </c>
      <c r="B1" s="1" t="inlineStr">
        <is>
          <t>Ticket</t>
        </is>
      </c>
      <c r="C1" s="1" t="inlineStr">
        <is>
          <t>Link</t>
        </is>
      </c>
      <c r="D1" s="1" t="inlineStr">
        <is>
          <t>URL</t>
        </is>
      </c>
      <c r="E1" s="1" t="inlineStr">
        <is>
          <t>Supplier</t>
        </is>
      </c>
      <c r="F1" s="1" t="inlineStr">
        <is>
          <t>Type</t>
        </is>
      </c>
      <c r="G1" s="1" t="inlineStr">
        <is>
          <t>Status</t>
        </is>
      </c>
      <c r="H1" s="1" t="inlineStr">
        <is>
          <t>Domain</t>
        </is>
      </c>
      <c r="I1" s="1" t="inlineStr">
        <is>
          <t>Summary</t>
        </is>
      </c>
      <c r="J1" s="1" t="inlineStr">
        <is>
          <t>Assignee</t>
        </is>
      </c>
      <c r="K1" s="1" t="inlineStr">
        <is>
          <t>Assignee Email</t>
        </is>
      </c>
      <c r="L1" s="1" t="inlineStr">
        <is>
          <t>DBC File Name</t>
        </is>
      </c>
    </row>
    <row r="2">
      <c r="A2" s="2" t="inlineStr">
        <is>
          <t> </t>
        </is>
      </c>
      <c r="B2" s="2" t="inlineStr">
        <is>
          <t>CDCFM-1238</t>
        </is>
      </c>
      <c r="C2" s="2">
        <f>IF(B2="","",HYPERLINK("https://spaws.jp.nissan.biz/jira/browse/"&amp;B2, B2))</f>
        <v/>
      </c>
      <c r="D2" s="2">
        <f>IF(B2="","", "https://spaws.jp.nissan.biz/jira/browse/"&amp;B2)</f>
        <v/>
      </c>
      <c r="E2" s="2" t="inlineStr">
        <is>
          <t>LGE</t>
        </is>
      </c>
      <c r="F2" s="2" t="inlineStr">
        <is>
          <t>Epic</t>
        </is>
      </c>
      <c r="G2" s="2" t="inlineStr">
        <is>
          <t>Close</t>
        </is>
      </c>
      <c r="H2" s="2" t="inlineStr">
        <is>
          <t>01_Platform</t>
        </is>
      </c>
      <c r="I2" s="2" t="inlineStr">
        <is>
          <t xml:space="preserve">[Network] [IVI-CAN] Implementation of CAN Message set (T3-2023) </t>
        </is>
      </c>
      <c r="J2" s="2" t="inlineStr">
        <is>
          <t>LGEJ-LGEJ61</t>
        </is>
      </c>
      <c r="K2" s="2" t="inlineStr">
        <is>
          <t>seungbeom.son@lge.com</t>
        </is>
      </c>
      <c r="L2" s="2" t="inlineStr">
        <is>
          <t>IVI_IVI-CAN</t>
        </is>
      </c>
    </row>
    <row r="3">
      <c r="A3" s="2" t="inlineStr">
        <is>
          <t> </t>
        </is>
      </c>
      <c r="B3" s="2" t="inlineStr">
        <is>
          <t>CDCFM-1239</t>
        </is>
      </c>
      <c r="C3" s="2">
        <f>IF(B3="","",HYPERLINK("https://spaws.jp.nissan.biz/jira/browse/"&amp;B3, B3))</f>
        <v/>
      </c>
      <c r="D3" s="2">
        <f>IF(B3="","", "https://spaws.jp.nissan.biz/jira/browse/"&amp;B3)</f>
        <v/>
      </c>
      <c r="E3" s="2" t="inlineStr">
        <is>
          <t>LGE</t>
        </is>
      </c>
      <c r="F3" s="2" t="inlineStr">
        <is>
          <t>Epic</t>
        </is>
      </c>
      <c r="G3" s="2" t="inlineStr">
        <is>
          <t>Close</t>
        </is>
      </c>
      <c r="H3" s="2" t="inlineStr">
        <is>
          <t>01_Platform</t>
        </is>
      </c>
      <c r="I3" s="2" t="inlineStr">
        <is>
          <t xml:space="preserve">[Network] [METER-CAN] Implementation of CAN Message set (T3-2023) </t>
        </is>
      </c>
      <c r="J3" s="2" t="inlineStr">
        <is>
          <t>LGEJ-LGEJ54</t>
        </is>
      </c>
      <c r="K3" s="2" t="inlineStr">
        <is>
          <t>neungq.park@lge.com</t>
        </is>
      </c>
      <c r="L3" s="2" t="inlineStr">
        <is>
          <t>METER_VM-CAN</t>
        </is>
      </c>
    </row>
    <row r="4">
      <c r="A4" s="2" t="inlineStr">
        <is>
          <t> </t>
        </is>
      </c>
      <c r="B4" s="2" t="inlineStr">
        <is>
          <t>CDCFM-3711</t>
        </is>
      </c>
      <c r="C4" s="2">
        <f>IF(B4="","",HYPERLINK("https://spaws.jp.nissan.biz/jira/browse/"&amp;B4, B4))</f>
        <v/>
      </c>
      <c r="D4" s="2">
        <f>IF(B4="","", "https://spaws.jp.nissan.biz/jira/browse/"&amp;B4)</f>
        <v/>
      </c>
      <c r="E4" s="2" t="inlineStr">
        <is>
          <t>MARELLI</t>
        </is>
      </c>
      <c r="F4" s="2" t="inlineStr">
        <is>
          <t>Story</t>
        </is>
      </c>
      <c r="G4" s="2" t="inlineStr">
        <is>
          <t>Closed</t>
        </is>
      </c>
      <c r="H4" s="2" t="inlineStr">
        <is>
          <t>18_Cluster</t>
        </is>
      </c>
      <c r="I4" s="2" t="inlineStr">
        <is>
          <t>[Meter] Signals for GAS fuel</t>
        </is>
      </c>
      <c r="J4" s="2" t="inlineStr">
        <is>
          <t>CK28215</t>
        </is>
      </c>
      <c r="K4" s="2" t="inlineStr">
        <is>
          <t> </t>
        </is>
      </c>
      <c r="L4" s="2" t="inlineStr">
        <is>
          <t>METER_VM-CAN</t>
        </is>
      </c>
    </row>
    <row r="5">
      <c r="A5" s="2" t="inlineStr">
        <is>
          <t> </t>
        </is>
      </c>
      <c r="B5" s="2" t="inlineStr">
        <is>
          <t>CDCFM-3791</t>
        </is>
      </c>
      <c r="C5" s="2">
        <f>IF(B5="","",HYPERLINK("https://spaws.jp.nissan.biz/jira/browse/"&amp;B5, B5))</f>
        <v/>
      </c>
      <c r="D5" s="2">
        <f>IF(B5="","", "https://spaws.jp.nissan.biz/jira/browse/"&amp;B5)</f>
        <v/>
      </c>
      <c r="E5" s="2" t="inlineStr">
        <is>
          <t>LGE</t>
        </is>
      </c>
      <c r="F5" s="2" t="inlineStr">
        <is>
          <t>Story</t>
        </is>
      </c>
      <c r="G5" s="2" t="inlineStr">
        <is>
          <t>Closed</t>
        </is>
      </c>
      <c r="H5" s="2" t="inlineStr">
        <is>
          <t>06_Tooling/Testing</t>
        </is>
      </c>
      <c r="I5" s="2" t="inlineStr">
        <is>
          <t>[MC] Spec discusstion for ST1.10 - REQ_MONIT-PARAM-02-34</t>
        </is>
      </c>
      <c r="J5" s="2" t="inlineStr">
        <is>
          <t>LGEJ-LGEJ135</t>
        </is>
      </c>
      <c r="K5" s="2" t="inlineStr">
        <is>
          <t>suhyoung.kim@lge.com</t>
        </is>
      </c>
      <c r="L5" s="2" t="inlineStr">
        <is>
          <t>FACE T1_2024_IVI_IVI-CAN_240624</t>
        </is>
      </c>
    </row>
    <row r="6">
      <c r="A6" s="2" t="inlineStr">
        <is>
          <t> </t>
        </is>
      </c>
      <c r="B6" s="2" t="inlineStr">
        <is>
          <t>CDCFM-4112</t>
        </is>
      </c>
      <c r="C6" s="2">
        <f>IF(B6="","",HYPERLINK("https://spaws.jp.nissan.biz/jira/browse/"&amp;B6, B6))</f>
        <v/>
      </c>
      <c r="D6" s="2">
        <f>IF(B6="","", "https://spaws.jp.nissan.biz/jira/browse/"&amp;B6)</f>
        <v/>
      </c>
      <c r="E6" s="2" t="inlineStr">
        <is>
          <t>LGE</t>
        </is>
      </c>
      <c r="F6" s="2" t="inlineStr">
        <is>
          <t>Epic</t>
        </is>
      </c>
      <c r="G6" s="2" t="inlineStr">
        <is>
          <t>Close</t>
        </is>
      </c>
      <c r="H6" s="2" t="inlineStr">
        <is>
          <t>01_Platform</t>
        </is>
      </c>
      <c r="I6" s="2" t="inlineStr">
        <is>
          <t>[Network] [IVI-CAN] Implementation of CAN Message set (T1-2024)</t>
        </is>
      </c>
      <c r="J6" s="2" t="inlineStr">
        <is>
          <t>LGEJ-LGEJ61</t>
        </is>
      </c>
      <c r="K6" s="2" t="inlineStr">
        <is>
          <t>seungbeom.son@lge.com</t>
        </is>
      </c>
      <c r="L6" s="2" t="inlineStr">
        <is>
          <t>FACE T1_2024_IVI_IVI-CAN</t>
        </is>
      </c>
    </row>
    <row r="7">
      <c r="A7" s="2" t="inlineStr">
        <is>
          <t> </t>
        </is>
      </c>
      <c r="B7" s="2" t="inlineStr">
        <is>
          <t>CDCFM-4114</t>
        </is>
      </c>
      <c r="C7" s="2">
        <f>IF(B7="","",HYPERLINK("https://spaws.jp.nissan.biz/jira/browse/"&amp;B7, B7))</f>
        <v/>
      </c>
      <c r="D7" s="2">
        <f>IF(B7="","", "https://spaws.jp.nissan.biz/jira/browse/"&amp;B7)</f>
        <v/>
      </c>
      <c r="E7" s="2" t="inlineStr">
        <is>
          <t>LGE</t>
        </is>
      </c>
      <c r="F7" s="2" t="inlineStr">
        <is>
          <t>Epic</t>
        </is>
      </c>
      <c r="G7" s="2" t="inlineStr">
        <is>
          <t>Close</t>
        </is>
      </c>
      <c r="H7" s="2" t="inlineStr">
        <is>
          <t>01_Platform</t>
        </is>
      </c>
      <c r="I7" s="2" t="inlineStr">
        <is>
          <t>[Network] [METER-CAN] Implementation of CAN Message set (T1-2024)</t>
        </is>
      </c>
      <c r="J7" s="2" t="inlineStr">
        <is>
          <t>LGEJ-LGEJ54</t>
        </is>
      </c>
      <c r="K7" s="2" t="inlineStr">
        <is>
          <t>neungq.park@lge.com</t>
        </is>
      </c>
      <c r="L7" s="2" t="inlineStr">
        <is>
          <t>FACE T1_2024_METER_VM-CAN</t>
        </is>
      </c>
    </row>
    <row r="8">
      <c r="A8" s="2" t="inlineStr">
        <is>
          <t> </t>
        </is>
      </c>
      <c r="B8" s="2" t="inlineStr">
        <is>
          <t>CDCFM-4216</t>
        </is>
      </c>
      <c r="C8" s="2">
        <f>IF(B8="","",HYPERLINK("https://spaws.jp.nissan.biz/jira/browse/"&amp;B8, B8))</f>
        <v/>
      </c>
      <c r="D8" s="2">
        <f>IF(B8="","", "https://spaws.jp.nissan.biz/jira/browse/"&amp;B8)</f>
        <v/>
      </c>
      <c r="E8" s="2" t="inlineStr">
        <is>
          <t> </t>
        </is>
      </c>
      <c r="F8" s="2" t="inlineStr">
        <is>
          <t>Epic</t>
        </is>
      </c>
      <c r="G8" s="2" t="inlineStr">
        <is>
          <t>Close</t>
        </is>
      </c>
      <c r="H8" s="2" t="inlineStr">
        <is>
          <t>01_Platform</t>
        </is>
      </c>
      <c r="I8" s="2" t="inlineStr">
        <is>
          <t>[Network] [IVI-VCAN] Implementation of VCAN Message set (T1-2024)</t>
        </is>
      </c>
      <c r="J8" s="2" t="inlineStr"/>
      <c r="K8" s="2" t="inlineStr">
        <is>
          <t> </t>
        </is>
      </c>
      <c r="L8" s="2" t="inlineStr">
        <is>
          <t>C1A-HSevo T1_2024_IVI_IVI-CAN</t>
        </is>
      </c>
    </row>
    <row r="9">
      <c r="A9" s="2" t="inlineStr">
        <is>
          <t> </t>
        </is>
      </c>
      <c r="B9" s="2" t="inlineStr">
        <is>
          <t>CDCFM-4217</t>
        </is>
      </c>
      <c r="C9" s="2">
        <f>IF(B9="","",HYPERLINK("https://spaws.jp.nissan.biz/jira/browse/"&amp;B9, B9))</f>
        <v/>
      </c>
      <c r="D9" s="2">
        <f>IF(B9="","", "https://spaws.jp.nissan.biz/jira/browse/"&amp;B9)</f>
        <v/>
      </c>
      <c r="E9" s="2" t="inlineStr">
        <is>
          <t> </t>
        </is>
      </c>
      <c r="F9" s="2" t="inlineStr">
        <is>
          <t>Epic</t>
        </is>
      </c>
      <c r="G9" s="2" t="inlineStr">
        <is>
          <t>Close</t>
        </is>
      </c>
      <c r="H9" s="2" t="inlineStr">
        <is>
          <t>01_Platform</t>
        </is>
      </c>
      <c r="I9" s="2" t="inlineStr">
        <is>
          <t>[Network] [IVI-MCAN] Implementation of MCAN Message set (T1-2024)</t>
        </is>
      </c>
      <c r="J9" s="2" t="inlineStr"/>
      <c r="K9" s="2" t="inlineStr">
        <is>
          <t> </t>
        </is>
      </c>
      <c r="L9" s="2" t="inlineStr">
        <is>
          <t>C1A-HSevo T1_2024_IVI_M1-CAN</t>
        </is>
      </c>
    </row>
    <row r="10">
      <c r="A10" s="2" t="inlineStr">
        <is>
          <t> </t>
        </is>
      </c>
      <c r="B10" s="2" t="inlineStr">
        <is>
          <t>CDCFM-4443</t>
        </is>
      </c>
      <c r="C10" s="2">
        <f>IF(B10="","",HYPERLINK("https://spaws.jp.nissan.biz/jira/browse/"&amp;B10, B10))</f>
        <v/>
      </c>
      <c r="D10" s="2">
        <f>IF(B10="","", "https://spaws.jp.nissan.biz/jira/browse/"&amp;B10)</f>
        <v/>
      </c>
      <c r="E10" s="2" t="inlineStr">
        <is>
          <t>LGE</t>
        </is>
      </c>
      <c r="F10" s="2" t="inlineStr">
        <is>
          <t>Story</t>
        </is>
      </c>
      <c r="G10" s="2" t="inlineStr">
        <is>
          <t>Closed</t>
        </is>
      </c>
      <c r="H10" s="2" t="inlineStr">
        <is>
          <t>01_Platform</t>
        </is>
      </c>
      <c r="I10" s="2" t="inlineStr">
        <is>
          <t>[Network] [IVI-CAN] CAN Message Implementation_MCU</t>
        </is>
      </c>
      <c r="J10" s="2" t="inlineStr">
        <is>
          <t>LGEJ-LGEJ61</t>
        </is>
      </c>
      <c r="K10" s="2" t="inlineStr">
        <is>
          <t>seungbeom.son@lge.com</t>
        </is>
      </c>
      <c r="L10" s="2" t="inlineStr">
        <is>
          <t>FACE T1_2024_IVI_IVI-CAN</t>
        </is>
      </c>
    </row>
    <row r="11">
      <c r="A11" s="2" t="inlineStr">
        <is>
          <t> </t>
        </is>
      </c>
      <c r="B11" s="2" t="inlineStr">
        <is>
          <t>CDCFM-4444</t>
        </is>
      </c>
      <c r="C11" s="2">
        <f>IF(B11="","",HYPERLINK("https://spaws.jp.nissan.biz/jira/browse/"&amp;B11, B11))</f>
        <v/>
      </c>
      <c r="D11" s="2">
        <f>IF(B11="","", "https://spaws.jp.nissan.biz/jira/browse/"&amp;B11)</f>
        <v/>
      </c>
      <c r="E11" s="2" t="inlineStr">
        <is>
          <t>LGE</t>
        </is>
      </c>
      <c r="F11" s="2" t="inlineStr">
        <is>
          <t>Story</t>
        </is>
      </c>
      <c r="G11" s="2" t="inlineStr">
        <is>
          <t>Closed</t>
        </is>
      </c>
      <c r="H11" s="2" t="inlineStr">
        <is>
          <t>01_Platform</t>
        </is>
      </c>
      <c r="I11" s="2" t="inlineStr">
        <is>
          <t>[Network] [IVI-CAN] CAN Message Implementation_VHAL</t>
        </is>
      </c>
      <c r="J11" s="2" t="inlineStr">
        <is>
          <t>LGEJ-LGEJ578</t>
        </is>
      </c>
      <c r="K11" s="2" t="inlineStr">
        <is>
          <t>sanghyun82.kim@lge.com</t>
        </is>
      </c>
      <c r="L11" s="2" t="inlineStr">
        <is>
          <t>FACE T1_2024_IVI_IVI-CAN</t>
        </is>
      </c>
    </row>
    <row r="12">
      <c r="A12" s="2" t="inlineStr">
        <is>
          <t> </t>
        </is>
      </c>
      <c r="B12" s="2" t="inlineStr">
        <is>
          <t>CDCFM-5421</t>
        </is>
      </c>
      <c r="C12" s="2">
        <f>IF(B12="","",HYPERLINK("https://spaws.jp.nissan.biz/jira/browse/"&amp;B12, B12))</f>
        <v/>
      </c>
      <c r="D12" s="2">
        <f>IF(B12="","", "https://spaws.jp.nissan.biz/jira/browse/"&amp;B12)</f>
        <v/>
      </c>
      <c r="E12" s="2" t="inlineStr">
        <is>
          <t>LGE</t>
        </is>
      </c>
      <c r="F12" s="2" t="inlineStr">
        <is>
          <t>Epic</t>
        </is>
      </c>
      <c r="G12" s="2" t="inlineStr">
        <is>
          <t>Close</t>
        </is>
      </c>
      <c r="H12" s="2" t="inlineStr">
        <is>
          <t>01_Platform</t>
        </is>
      </c>
      <c r="I12" s="2" t="inlineStr">
        <is>
          <t>[Network] [IVI-CAN] Implementation of CAN Message set (T2-2024)</t>
        </is>
      </c>
      <c r="J12" s="2" t="inlineStr">
        <is>
          <t>GWE00157</t>
        </is>
      </c>
      <c r="K12" s="2" t="inlineStr">
        <is>
          <t>seungbeom.son@lge.com</t>
        </is>
      </c>
      <c r="L12" s="2" t="inlineStr">
        <is>
          <t>FACE_T2_2024_IVI_IVI-CAN</t>
        </is>
      </c>
    </row>
    <row r="13">
      <c r="A13" s="2" t="inlineStr">
        <is>
          <t> </t>
        </is>
      </c>
      <c r="B13" s="2" t="inlineStr">
        <is>
          <t>CDCFM-5422</t>
        </is>
      </c>
      <c r="C13" s="2">
        <f>IF(B13="","",HYPERLINK("https://spaws.jp.nissan.biz/jira/browse/"&amp;B13, B13))</f>
        <v/>
      </c>
      <c r="D13" s="2">
        <f>IF(B13="","", "https://spaws.jp.nissan.biz/jira/browse/"&amp;B13)</f>
        <v/>
      </c>
      <c r="E13" s="2" t="inlineStr">
        <is>
          <t>LGE</t>
        </is>
      </c>
      <c r="F13" s="2" t="inlineStr">
        <is>
          <t>Epic</t>
        </is>
      </c>
      <c r="G13" s="2" t="inlineStr">
        <is>
          <t>Close</t>
        </is>
      </c>
      <c r="H13" s="2" t="inlineStr">
        <is>
          <t>01_Platform</t>
        </is>
      </c>
      <c r="I13" s="2" t="inlineStr">
        <is>
          <t>[Network] [METER-CAN] Implementation of CAN Message set (T2-2024)</t>
        </is>
      </c>
      <c r="J13" s="2" t="inlineStr">
        <is>
          <t>GWE00157</t>
        </is>
      </c>
      <c r="K13" s="2" t="inlineStr">
        <is>
          <t>neungq.park@lge.com</t>
        </is>
      </c>
      <c r="L13" s="2" t="inlineStr">
        <is>
          <t>FACE_T2_2024_METER_VM-CAN</t>
        </is>
      </c>
    </row>
    <row r="14">
      <c r="A14" s="2" t="inlineStr">
        <is>
          <t> </t>
        </is>
      </c>
      <c r="B14" s="2" t="inlineStr">
        <is>
          <t>CDCFM-5898</t>
        </is>
      </c>
      <c r="C14" s="2">
        <f>IF(B14="","",HYPERLINK("https://spaws.jp.nissan.biz/jira/browse/"&amp;B14, B14))</f>
        <v/>
      </c>
      <c r="D14" s="2">
        <f>IF(B14="","", "https://spaws.jp.nissan.biz/jira/browse/"&amp;B14)</f>
        <v/>
      </c>
      <c r="E14" s="2" t="inlineStr">
        <is>
          <t>LGE</t>
        </is>
      </c>
      <c r="F14" s="2" t="inlineStr">
        <is>
          <t>Story</t>
        </is>
      </c>
      <c r="G14" s="2" t="inlineStr">
        <is>
          <t>Closed</t>
        </is>
      </c>
      <c r="H14" s="2" t="inlineStr">
        <is>
          <t>01_Platform</t>
        </is>
      </c>
      <c r="I14" s="2" t="inlineStr">
        <is>
          <t>[Network] [IVI-CAN] VHAL Implementation of CAN Message set (T2-2024)</t>
        </is>
      </c>
      <c r="J14" s="2" t="inlineStr">
        <is>
          <t>LGEJ-LGEJ166</t>
        </is>
      </c>
      <c r="K14" s="2" t="inlineStr">
        <is>
          <t>thien3.pham@lge.com</t>
        </is>
      </c>
      <c r="L14" s="2" t="inlineStr">
        <is>
          <t>FACE T2_2024_IVI_IVI-CAN_240920</t>
        </is>
      </c>
    </row>
    <row r="15">
      <c r="A15" s="2" t="inlineStr">
        <is>
          <t> </t>
        </is>
      </c>
      <c r="B15" s="2" t="inlineStr">
        <is>
          <t>CDCFM-6458</t>
        </is>
      </c>
      <c r="C15" s="2">
        <f>IF(B15="","",HYPERLINK("https://spaws.jp.nissan.biz/jira/browse/"&amp;B15, B15))</f>
        <v/>
      </c>
      <c r="D15" s="2">
        <f>IF(B15="","", "https://spaws.jp.nissan.biz/jira/browse/"&amp;B15)</f>
        <v/>
      </c>
      <c r="E15" s="2" t="inlineStr">
        <is>
          <t>LGE</t>
        </is>
      </c>
      <c r="F15" s="2" t="inlineStr">
        <is>
          <t>Epic</t>
        </is>
      </c>
      <c r="G15" s="2" t="inlineStr">
        <is>
          <t>Close</t>
        </is>
      </c>
      <c r="H15" s="2" t="inlineStr">
        <is>
          <t>01_Platform</t>
        </is>
      </c>
      <c r="I15" s="2" t="inlineStr">
        <is>
          <t>[Network] [METER-CAN] Implementation of CAN Message set (T3-2024)</t>
        </is>
      </c>
      <c r="J15" s="2" t="inlineStr">
        <is>
          <t>GWE00157</t>
        </is>
      </c>
      <c r="K15" s="2" t="inlineStr">
        <is>
          <t>neungq.park@lge.com</t>
        </is>
      </c>
      <c r="L15" s="2" t="inlineStr">
        <is>
          <t>FACE_T3_2024_METER_VM-CAN</t>
        </is>
      </c>
    </row>
    <row r="16">
      <c r="A16" s="2" t="inlineStr">
        <is>
          <t> </t>
        </is>
      </c>
      <c r="B16" s="2" t="inlineStr">
        <is>
          <t>CDCFM-8364</t>
        </is>
      </c>
      <c r="C16" s="2">
        <f>IF(B16="","",HYPERLINK("https://spaws.jp.nissan.biz/jira/browse/"&amp;B16, B16))</f>
        <v/>
      </c>
      <c r="D16" s="2">
        <f>IF(B16="","", "https://spaws.jp.nissan.biz/jira/browse/"&amp;B16)</f>
        <v/>
      </c>
      <c r="E16" s="2" t="inlineStr">
        <is>
          <t>LGE</t>
        </is>
      </c>
      <c r="F16" s="2" t="inlineStr">
        <is>
          <t>Epic</t>
        </is>
      </c>
      <c r="G16" s="2" t="inlineStr">
        <is>
          <t>Close</t>
        </is>
      </c>
      <c r="H16" s="2" t="inlineStr">
        <is>
          <t>01_Platform</t>
        </is>
      </c>
      <c r="I16" s="2" t="inlineStr">
        <is>
          <t>[Network] [IVI-CAN] Implementation of CAN Message set (T4-2024)</t>
        </is>
      </c>
      <c r="J16" s="2" t="inlineStr">
        <is>
          <t>GWE00157</t>
        </is>
      </c>
      <c r="K16" s="2" t="inlineStr">
        <is>
          <t>seungbeom.son@lge.com</t>
        </is>
      </c>
      <c r="L16" s="2" t="inlineStr">
        <is>
          <t>FACE_T4_2024_IVI_IVI-CAN</t>
        </is>
      </c>
    </row>
    <row r="17">
      <c r="A17" s="2" t="inlineStr">
        <is>
          <t> </t>
        </is>
      </c>
      <c r="B17" s="2" t="inlineStr">
        <is>
          <t>CDCFM-8365</t>
        </is>
      </c>
      <c r="C17" s="2">
        <f>IF(B17="","",HYPERLINK("https://spaws.jp.nissan.biz/jira/browse/"&amp;B17, B17))</f>
        <v/>
      </c>
      <c r="D17" s="2">
        <f>IF(B17="","", "https://spaws.jp.nissan.biz/jira/browse/"&amp;B17)</f>
        <v/>
      </c>
      <c r="E17" s="2" t="inlineStr">
        <is>
          <t>LGE</t>
        </is>
      </c>
      <c r="F17" s="2" t="inlineStr">
        <is>
          <t>Epic</t>
        </is>
      </c>
      <c r="G17" s="2" t="inlineStr">
        <is>
          <t>Close</t>
        </is>
      </c>
      <c r="H17" s="2" t="inlineStr">
        <is>
          <t>01_Platform</t>
        </is>
      </c>
      <c r="I17" s="2" t="inlineStr">
        <is>
          <t>[Network] [METER-CAN] Implementation of CAN Message set (T4-2024)</t>
        </is>
      </c>
      <c r="J17" s="2" t="inlineStr">
        <is>
          <t>GWE00157</t>
        </is>
      </c>
      <c r="K17" s="2" t="inlineStr">
        <is>
          <t>neungq.park@lge.com</t>
        </is>
      </c>
      <c r="L17" s="2" t="inlineStr">
        <is>
          <t>FACE_T4_2024_METER_VM-CAN</t>
        </is>
      </c>
    </row>
    <row r="18">
      <c r="A18" s="2" t="n">
        <v>1</v>
      </c>
      <c r="B18" s="2" t="inlineStr">
        <is>
          <t>CDCFM-11346</t>
        </is>
      </c>
      <c r="C18" s="2">
        <f>IF(B18="","",HYPERLINK("https://spaws.jp.nissan.biz/jira/browse/"&amp;B18, B18))</f>
        <v/>
      </c>
      <c r="D18" s="2">
        <f>IF(B18="","", "https://spaws.jp.nissan.biz/jira/browse/"&amp;B18)</f>
        <v/>
      </c>
      <c r="E18" s="2" t="inlineStr">
        <is>
          <t>LGE</t>
        </is>
      </c>
      <c r="F18" s="2" t="inlineStr">
        <is>
          <t>Epic</t>
        </is>
      </c>
      <c r="G18" s="2" t="inlineStr">
        <is>
          <t>Verified</t>
        </is>
      </c>
      <c r="H18" s="2" t="inlineStr">
        <is>
          <t>01_Platform</t>
        </is>
      </c>
      <c r="I18" s="2" t="inlineStr">
        <is>
          <t>[Network] [METER-CAN] Implementation of CAN Message set (T1-2025)</t>
        </is>
      </c>
      <c r="J18" s="2" t="inlineStr">
        <is>
          <t>N208275</t>
        </is>
      </c>
      <c r="K18" s="2" t="inlineStr">
        <is>
          <t>neungq.park@lge.com</t>
        </is>
      </c>
      <c r="L18" s="2" t="inlineStr">
        <is>
          <t>FACE_T1_2025_METER_VM-CAN FACE_T1_2025_v3_METER_VM-CAN</t>
        </is>
      </c>
    </row>
    <row r="19">
      <c r="A19" s="2" t="n">
        <v>2</v>
      </c>
      <c r="B19" s="2" t="inlineStr">
        <is>
          <t>CDCFM-11351</t>
        </is>
      </c>
      <c r="C19" s="2">
        <f>IF(B19="","",HYPERLINK("https://spaws.jp.nissan.biz/jira/browse/"&amp;B19, B19))</f>
        <v/>
      </c>
      <c r="D19" s="2">
        <f>IF(B19="","", "https://spaws.jp.nissan.biz/jira/browse/"&amp;B19)</f>
        <v/>
      </c>
      <c r="E19" s="2" t="inlineStr">
        <is>
          <t>LGE</t>
        </is>
      </c>
      <c r="F19" s="2" t="inlineStr">
        <is>
          <t>Epic</t>
        </is>
      </c>
      <c r="G19" s="2" t="inlineStr">
        <is>
          <t>Verified</t>
        </is>
      </c>
      <c r="H19" s="2" t="inlineStr">
        <is>
          <t>01_Platform</t>
        </is>
      </c>
      <c r="I19" s="2" t="inlineStr">
        <is>
          <t>[Network] [IVI-CAN] Implementation of CAN Message set (T1-2025)</t>
        </is>
      </c>
      <c r="J19" s="2" t="inlineStr">
        <is>
          <t>N208275</t>
        </is>
      </c>
      <c r="K19" s="2" t="inlineStr">
        <is>
          <t>seungbeom.son@lge.com</t>
        </is>
      </c>
      <c r="L19" s="2" t="inlineStr">
        <is>
          <t>FACE_T1_2025_IVI_IVI-CAN FACE_T1_2025_IVI_M1-CAN FACE_T1_2025_v3_IVI_IVI-CAN</t>
        </is>
      </c>
    </row>
    <row r="20">
      <c r="A20" s="2" t="inlineStr">
        <is>
          <t> </t>
        </is>
      </c>
      <c r="B20" s="2" t="inlineStr">
        <is>
          <t>CDCFM-12893</t>
        </is>
      </c>
      <c r="C20" s="2">
        <f>IF(B20="","",HYPERLINK("https://spaws.jp.nissan.biz/jira/browse/"&amp;B20, B20))</f>
        <v/>
      </c>
      <c r="D20" s="2">
        <f>IF(B20="","", "https://spaws.jp.nissan.biz/jira/browse/"&amp;B20)</f>
        <v/>
      </c>
      <c r="E20" s="2" t="inlineStr">
        <is>
          <t>LGE</t>
        </is>
      </c>
      <c r="F20" s="2" t="inlineStr">
        <is>
          <t>Story</t>
        </is>
      </c>
      <c r="G20" s="2" t="inlineStr">
        <is>
          <t>Closed</t>
        </is>
      </c>
      <c r="H20" s="2" t="inlineStr">
        <is>
          <t>01_Platform</t>
        </is>
      </c>
      <c r="I20" s="2" t="inlineStr">
        <is>
          <t>[IVI-CAN] Implementation of CAN Message set on VHAL(T1-2025)</t>
        </is>
      </c>
      <c r="J20" s="2" t="inlineStr">
        <is>
          <t>LGEJ-LGEJ766</t>
        </is>
      </c>
      <c r="K20" s="2" t="inlineStr">
        <is>
          <t>lam.le@lge.com</t>
        </is>
      </c>
      <c r="L20" s="2" t="inlineStr">
        <is>
          <t>FACE_T1_2025_v3_IVI_IVI-CAN</t>
        </is>
      </c>
    </row>
    <row r="21">
      <c r="A21" s="2" t="n">
        <v>3</v>
      </c>
      <c r="B21" s="2" t="inlineStr">
        <is>
          <t>CDCFM-15166</t>
        </is>
      </c>
      <c r="C21" s="2">
        <f>IF(B21="","",HYPERLINK("https://spaws.jp.nissan.biz/jira/browse/"&amp;B21, B21))</f>
        <v/>
      </c>
      <c r="D21" s="2">
        <f>IF(B21="","", "https://spaws.jp.nissan.biz/jira/browse/"&amp;B21)</f>
        <v/>
      </c>
      <c r="E21" s="2" t="inlineStr">
        <is>
          <t>LGE</t>
        </is>
      </c>
      <c r="F21" s="2" t="inlineStr">
        <is>
          <t>Epic</t>
        </is>
      </c>
      <c r="G21" s="2" t="inlineStr">
        <is>
          <t>Verified</t>
        </is>
      </c>
      <c r="H21" s="2" t="inlineStr">
        <is>
          <t>01_Platform</t>
        </is>
      </c>
      <c r="I21" s="2" t="inlineStr">
        <is>
          <t>[Network] [IVI-CAN] Implementation of CAN Message set (T2-2025)</t>
        </is>
      </c>
      <c r="J21" s="2" t="inlineStr">
        <is>
          <t>N196317</t>
        </is>
      </c>
      <c r="K21" s="2" t="inlineStr">
        <is>
          <t>seungbeom.son@lge.com</t>
        </is>
      </c>
      <c r="L21" s="2" t="inlineStr">
        <is>
          <t>FACE_T2_2025_IVI_IVI-CAN</t>
        </is>
      </c>
    </row>
    <row r="22">
      <c r="A22" s="2" t="n">
        <v>4</v>
      </c>
      <c r="B22" s="2" t="inlineStr">
        <is>
          <t>CDCFM-15173</t>
        </is>
      </c>
      <c r="C22" s="2">
        <f>IF(B22="","",HYPERLINK("https://spaws.jp.nissan.biz/jira/browse/"&amp;B22, B22))</f>
        <v/>
      </c>
      <c r="D22" s="2">
        <f>IF(B22="","", "https://spaws.jp.nissan.biz/jira/browse/"&amp;B22)</f>
        <v/>
      </c>
      <c r="E22" s="2" t="inlineStr">
        <is>
          <t>LGE</t>
        </is>
      </c>
      <c r="F22" s="2" t="inlineStr">
        <is>
          <t>Epic</t>
        </is>
      </c>
      <c r="G22" s="2" t="inlineStr">
        <is>
          <t>Verified</t>
        </is>
      </c>
      <c r="H22" s="2" t="inlineStr">
        <is>
          <t>01_Platform</t>
        </is>
      </c>
      <c r="I22" s="2" t="inlineStr">
        <is>
          <t>[Network] [METER-CAN] Implementation of CAN Message set (T2-2025)</t>
        </is>
      </c>
      <c r="J22" s="2" t="inlineStr">
        <is>
          <t>N208275</t>
        </is>
      </c>
      <c r="K22" s="2" t="inlineStr">
        <is>
          <t>seungbeom.son@lge.com</t>
        </is>
      </c>
      <c r="L22" s="2" t="inlineStr">
        <is>
          <t>FACE_T2_2025_METER_VM-CAN</t>
        </is>
      </c>
    </row>
    <row r="23">
      <c r="A23" s="2" t="n">
        <v>5</v>
      </c>
      <c r="B23" s="2" t="inlineStr">
        <is>
          <t>CDCFM-18281</t>
        </is>
      </c>
      <c r="C23" s="2">
        <f>IF(B23="","",HYPERLINK("https://spaws.jp.nissan.biz/jira/browse/"&amp;B23, B23))</f>
        <v/>
      </c>
      <c r="D23" s="2">
        <f>IF(B23="","", "https://spaws.jp.nissan.biz/jira/browse/"&amp;B23)</f>
        <v/>
      </c>
      <c r="E23" s="2" t="inlineStr">
        <is>
          <t>LGE</t>
        </is>
      </c>
      <c r="F23" s="2" t="inlineStr">
        <is>
          <t>Epic</t>
        </is>
      </c>
      <c r="G23" s="2" t="inlineStr">
        <is>
          <t>Verified</t>
        </is>
      </c>
      <c r="H23" s="2" t="inlineStr">
        <is>
          <t>01_Platform</t>
        </is>
      </c>
      <c r="I23" s="2" t="inlineStr">
        <is>
          <t>[Network] [IVI-CAN] Implementation of CAN Message set (T3-2025)</t>
        </is>
      </c>
      <c r="J23" s="2" t="inlineStr">
        <is>
          <t>N208275</t>
        </is>
      </c>
      <c r="K23" s="2" t="inlineStr">
        <is>
          <t>seungbeom.son@lge.com</t>
        </is>
      </c>
      <c r="L23" s="2" t="inlineStr">
        <is>
          <t>FACE_T3_2025_IVI_IVI-CAN FACE_T3_2025_IVI_M1-CAN</t>
        </is>
      </c>
    </row>
    <row r="24">
      <c r="A24" s="2" t="n">
        <v>6</v>
      </c>
      <c r="B24" s="2" t="inlineStr">
        <is>
          <t>CDCFM-18282</t>
        </is>
      </c>
      <c r="C24" s="2">
        <f>IF(B24="","",HYPERLINK("https://spaws.jp.nissan.biz/jira/browse/"&amp;B24, B24))</f>
        <v/>
      </c>
      <c r="D24" s="2">
        <f>IF(B24="","", "https://spaws.jp.nissan.biz/jira/browse/"&amp;B24)</f>
        <v/>
      </c>
      <c r="E24" s="2" t="inlineStr">
        <is>
          <t>LGE</t>
        </is>
      </c>
      <c r="F24" s="2" t="inlineStr">
        <is>
          <t>Epic</t>
        </is>
      </c>
      <c r="G24" s="2" t="inlineStr">
        <is>
          <t>Verified</t>
        </is>
      </c>
      <c r="H24" s="2" t="inlineStr">
        <is>
          <t>01_Platform</t>
        </is>
      </c>
      <c r="I24" s="2" t="inlineStr">
        <is>
          <t>[Network] [METER-CAN] Implementation of CAN Message set (T3-2025)</t>
        </is>
      </c>
      <c r="J24" s="2" t="inlineStr">
        <is>
          <t>N208275</t>
        </is>
      </c>
      <c r="K24" s="2" t="inlineStr">
        <is>
          <t>seungbeom.son@lge.com</t>
        </is>
      </c>
      <c r="L24" s="2" t="inlineStr">
        <is>
          <t>FACE_T3_2025_METER_VM-CAN</t>
        </is>
      </c>
    </row>
    <row r="25">
      <c r="A25" s="2" t="n">
        <v>7</v>
      </c>
      <c r="B25" s="2" t="inlineStr">
        <is>
          <t>CDCFM-21073</t>
        </is>
      </c>
      <c r="C25" s="2">
        <f>IF(B25="","",HYPERLINK("https://spaws.jp.nissan.biz/jira/browse/"&amp;B25, B25))</f>
        <v/>
      </c>
      <c r="D25" s="2">
        <f>IF(B25="","", "https://spaws.jp.nissan.biz/jira/browse/"&amp;B25)</f>
        <v/>
      </c>
      <c r="E25" s="2" t="inlineStr">
        <is>
          <t>LGE</t>
        </is>
      </c>
      <c r="F25" s="2" t="inlineStr">
        <is>
          <t>Epic</t>
        </is>
      </c>
      <c r="G25" s="2" t="inlineStr">
        <is>
          <t>Verified</t>
        </is>
      </c>
      <c r="H25" s="2" t="inlineStr">
        <is>
          <t>01_Platform</t>
        </is>
      </c>
      <c r="I25" s="2" t="inlineStr">
        <is>
          <t>[Network] [METER-CAN] Implementation of CAN Message set (T4-2025)</t>
        </is>
      </c>
      <c r="J25" s="2" t="inlineStr">
        <is>
          <t>LGEJ-LGEJ61</t>
        </is>
      </c>
      <c r="K25" s="2" t="inlineStr">
        <is>
          <t>seungbeom.son@lge.com</t>
        </is>
      </c>
      <c r="L25" s="2" t="inlineStr">
        <is>
          <t>FACE_T4_2025_METER_VM-CAN</t>
        </is>
      </c>
    </row>
    <row r="26">
      <c r="A26" s="2" t="n">
        <v>8</v>
      </c>
      <c r="B26" s="2" t="inlineStr">
        <is>
          <t>CDCFM-21074</t>
        </is>
      </c>
      <c r="C26" s="2">
        <f>IF(B26="","",HYPERLINK("https://spaws.jp.nissan.biz/jira/browse/"&amp;B26, B26))</f>
        <v/>
      </c>
      <c r="D26" s="2">
        <f>IF(B26="","", "https://spaws.jp.nissan.biz/jira/browse/"&amp;B26)</f>
        <v/>
      </c>
      <c r="E26" s="2" t="inlineStr">
        <is>
          <t>LGE</t>
        </is>
      </c>
      <c r="F26" s="2" t="inlineStr">
        <is>
          <t>Epic</t>
        </is>
      </c>
      <c r="G26" s="2" t="inlineStr">
        <is>
          <t>Verified</t>
        </is>
      </c>
      <c r="H26" s="2" t="inlineStr">
        <is>
          <t>01_Platform</t>
        </is>
      </c>
      <c r="I26" s="2" t="inlineStr">
        <is>
          <t>[Network] [IVI-CAN] Implementation of CAN Message set (T4-2025)</t>
        </is>
      </c>
      <c r="J26" s="2" t="inlineStr">
        <is>
          <t>LGEJ-LGEJ61</t>
        </is>
      </c>
      <c r="K26" s="2" t="inlineStr">
        <is>
          <t>seungbeom.son@lge.com</t>
        </is>
      </c>
      <c r="L26" s="2" t="inlineStr">
        <is>
          <t>FACE_T4_2025_IVI_IVI-CAN FACE_T4_2025_IVI_M1-CAN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2026-04-16T02:30:26Z</dcterms:created>
  <dcterms:modified xsi:type="dcterms:W3CDTF">2026-04-16T02:30:27Z</dcterms:modified>
</cp:coreProperties>
</file>